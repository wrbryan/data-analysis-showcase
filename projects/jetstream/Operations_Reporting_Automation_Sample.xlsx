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29e3d154a2aaf9/"/>
    </mc:Choice>
  </mc:AlternateContent>
  <xr:revisionPtr revIDLastSave="418" documentId="11_E60897F41BE170836B02CE998F75CCDC64E183C8" xr6:coauthVersionLast="47" xr6:coauthVersionMax="47" xr10:uidLastSave="{36F44941-5F32-1441-AD66-575F55568684}"/>
  <bookViews>
    <workbookView xWindow="0" yWindow="560" windowWidth="25600" windowHeight="16080" activeTab="3" xr2:uid="{00000000-000D-0000-FFFF-FFFF00000000}"/>
  </bookViews>
  <sheets>
    <sheet name="Raw_Data" sheetId="1" r:id="rId1"/>
    <sheet name="Cleaned_Data" sheetId="2" r:id="rId2"/>
    <sheet name="Exceptions" sheetId="4" r:id="rId3"/>
    <sheet name="Dashboard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3" l="1"/>
  <c r="E7" i="3"/>
  <c r="E6" i="3"/>
  <c r="E5" i="3"/>
  <c r="B10" i="3"/>
  <c r="B9" i="3"/>
  <c r="B7" i="3"/>
  <c r="B6" i="3"/>
  <c r="B5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" i="2"/>
  <c r="B8" i="3" l="1"/>
  <c r="A1" i="4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<sst xmlns="http://schemas.openxmlformats.org/spreadsheetml/2006/main" count="315" uniqueCount="72">
  <si>
    <t>Work_Order_ID</t>
  </si>
  <si>
    <t>Open_Date</t>
  </si>
  <si>
    <t>Close_Date</t>
  </si>
  <si>
    <t>Status</t>
  </si>
  <si>
    <t>Equipment_Type</t>
  </si>
  <si>
    <t>Location</t>
  </si>
  <si>
    <t>Technician</t>
  </si>
  <si>
    <t>Labor_Hours</t>
  </si>
  <si>
    <t>Parts_Cost</t>
  </si>
  <si>
    <t>Priority</t>
  </si>
  <si>
    <t>WO-1001</t>
  </si>
  <si>
    <t>Closed</t>
  </si>
  <si>
    <t>Forklift</t>
  </si>
  <si>
    <t>Warehouse A</t>
  </si>
  <si>
    <t>Alex Smith</t>
  </si>
  <si>
    <t>High</t>
  </si>
  <si>
    <t>WO-1002</t>
  </si>
  <si>
    <t>Open</t>
  </si>
  <si>
    <t>Jordan Lee</t>
  </si>
  <si>
    <t>Medium</t>
  </si>
  <si>
    <t>WO-1003</t>
  </si>
  <si>
    <t>Complete</t>
  </si>
  <si>
    <t>Fork lift</t>
  </si>
  <si>
    <t>Warehouse B</t>
  </si>
  <si>
    <t>WO-1004</t>
  </si>
  <si>
    <t>closed</t>
  </si>
  <si>
    <t>Conveyor</t>
  </si>
  <si>
    <t>Sam Patel</t>
  </si>
  <si>
    <t>Low</t>
  </si>
  <si>
    <t>WO-1005</t>
  </si>
  <si>
    <t>In Progress</t>
  </si>
  <si>
    <t>WO-1006</t>
  </si>
  <si>
    <t>Completed</t>
  </si>
  <si>
    <t>FL</t>
  </si>
  <si>
    <t>WO-1007</t>
  </si>
  <si>
    <t>Generator</t>
  </si>
  <si>
    <t>Warehouse C</t>
  </si>
  <si>
    <t>WO-1008</t>
  </si>
  <si>
    <t>WO-1009</t>
  </si>
  <si>
    <t>WO-1010</t>
  </si>
  <si>
    <t>WO-1011</t>
  </si>
  <si>
    <t>WO-1012</t>
  </si>
  <si>
    <t>WO-1013</t>
  </si>
  <si>
    <t>WO-1014</t>
  </si>
  <si>
    <t>WO-1015</t>
  </si>
  <si>
    <t>WO-1016</t>
  </si>
  <si>
    <t>WO-1017</t>
  </si>
  <si>
    <t>WO-1018</t>
  </si>
  <si>
    <t>WO-1019</t>
  </si>
  <si>
    <t>WO-1020</t>
  </si>
  <si>
    <t>WO-1022</t>
  </si>
  <si>
    <t>Standard_Status</t>
  </si>
  <si>
    <t>Standard_Equipment</t>
  </si>
  <si>
    <t>Days_Open</t>
  </si>
  <si>
    <t>Data_Quality_Flag</t>
  </si>
  <si>
    <t>Review these records before using the dashboard for management decisions.</t>
  </si>
  <si>
    <t>Field Service Operations Dashboard</t>
  </si>
  <si>
    <t>Fictional demonstration — operational reporting and data-quality controls</t>
  </si>
  <si>
    <t>KPI</t>
  </si>
  <si>
    <t>Value</t>
  </si>
  <si>
    <t>Total Work Orders</t>
  </si>
  <si>
    <t>Open Work Orders</t>
  </si>
  <si>
    <t>Completed Work Orders</t>
  </si>
  <si>
    <t>Average Days Open</t>
  </si>
  <si>
    <t>Total Labor Hours</t>
  </si>
  <si>
    <t>Total Parts Cost</t>
  </si>
  <si>
    <t>Records Requiring Review</t>
  </si>
  <si>
    <t>Equipment Type</t>
  </si>
  <si>
    <t>Work Orders</t>
  </si>
  <si>
    <t>FORKLIFT</t>
  </si>
  <si>
    <t>CONVEYOR</t>
  </si>
  <si>
    <t>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</si>
</sst>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yyyy\-mm\-dd"/>
    <numFmt numFmtId="165" formatCode="0.0"/>
    <numFmt numFmtId="166" formatCode="&quot;$&quot;#,##0.00;[Red]\-&quot;$&quot;#,##0.00"/>
    <numFmt numFmtId="172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8FC"/>
        <bgColor indexed="64"/>
      </patternFill>
    </fill>
    <fill>
      <patternFill patternType="solid">
        <fgColor rgb="FF1F4E78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9E2F3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1" xfId="0" applyFill="1" applyBorder="1"/>
    <xf numFmtId="164" fontId="0" fillId="2" borderId="2" xfId="0" applyNumberFormat="1" applyFill="1" applyBorder="1"/>
    <xf numFmtId="0" fontId="0" fillId="2" borderId="2" xfId="0" applyFill="1" applyBorder="1"/>
    <xf numFmtId="165" fontId="0" fillId="2" borderId="2" xfId="0" applyNumberFormat="1" applyFill="1" applyBorder="1"/>
    <xf numFmtId="166" fontId="0" fillId="2" borderId="2" xfId="0" applyNumberFormat="1" applyFill="1" applyBorder="1"/>
    <xf numFmtId="0" fontId="0" fillId="2" borderId="3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165" fontId="0" fillId="0" borderId="2" xfId="0" applyNumberFormat="1" applyBorder="1"/>
    <xf numFmtId="166" fontId="0" fillId="0" borderId="2" xfId="0" applyNumberFormat="1" applyBorder="1"/>
    <xf numFmtId="0" fontId="0" fillId="0" borderId="3" xfId="0" applyBorder="1"/>
    <xf numFmtId="0" fontId="1" fillId="3" borderId="0" xfId="0" applyFont="1" applyFill="1"/>
    <xf numFmtId="0" fontId="3" fillId="4" borderId="4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4" fillId="5" borderId="4" xfId="0" applyFont="1" applyFill="1" applyBorder="1"/>
    <xf numFmtId="0" fontId="4" fillId="5" borderId="5" xfId="0" applyFont="1" applyFill="1" applyBorder="1"/>
    <xf numFmtId="0" fontId="7" fillId="0" borderId="6" xfId="0" applyFont="1" applyBorder="1"/>
    <xf numFmtId="0" fontId="8" fillId="6" borderId="7" xfId="0" applyFont="1" applyFill="1" applyBorder="1" applyAlignment="1">
      <alignment horizontal="center"/>
    </xf>
    <xf numFmtId="0" fontId="7" fillId="0" borderId="8" xfId="0" applyFont="1" applyBorder="1"/>
    <xf numFmtId="3" fontId="7" fillId="0" borderId="6" xfId="0" applyNumberFormat="1" applyFont="1" applyBorder="1" applyAlignment="1">
      <alignment horizontal="right"/>
    </xf>
    <xf numFmtId="2" fontId="1" fillId="3" borderId="0" xfId="0" applyNumberFormat="1" applyFont="1" applyFill="1"/>
    <xf numFmtId="2" fontId="2" fillId="0" borderId="0" xfId="0" applyNumberFormat="1" applyFont="1" applyAlignment="1">
      <alignment wrapText="1"/>
    </xf>
    <xf numFmtId="2" fontId="3" fillId="4" borderId="4" xfId="0" applyNumberFormat="1" applyFont="1" applyFill="1" applyBorder="1" applyAlignment="1">
      <alignment horizontal="center"/>
    </xf>
    <xf numFmtId="2" fontId="5" fillId="5" borderId="4" xfId="0" applyNumberFormat="1" applyFont="1" applyFill="1" applyBorder="1" applyAlignment="1">
      <alignment horizontal="right"/>
    </xf>
    <xf numFmtId="2" fontId="5" fillId="5" borderId="5" xfId="0" applyNumberFormat="1" applyFont="1" applyFill="1" applyBorder="1" applyAlignment="1">
      <alignment horizontal="right"/>
    </xf>
    <xf numFmtId="2" fontId="0" fillId="0" borderId="0" xfId="0" applyNumberFormat="1"/>
    <xf numFmtId="172" fontId="5" fillId="5" borderId="4" xfId="1" applyNumberFormat="1" applyFont="1" applyFill="1" applyBorder="1" applyAlignment="1">
      <alignment horizontal="right"/>
    </xf>
  </cellXfs>
  <cellStyles count="2">
    <cellStyle name="Currency" xfId="1" builtinId="4"/>
    <cellStyle name="Normal" xfId="0" builtinId="0"/>
  </cellStyles>
  <dxfs count="4">
    <dxf>
      <numFmt numFmtId="166" formatCode="&quot;$&quot;#,##0.00;[Red]\-&quot;$&quot;#,##0.00"/>
    </dxf>
    <dxf>
      <numFmt numFmtId="165" formatCode="0.0"/>
    </dxf>
    <dxf>
      <numFmt numFmtId="164" formatCode="yyyy\-mm\-dd"/>
    </dxf>
    <dxf>
      <numFmt numFmtId="164" formatCode="yyyy\-mm\-dd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 Orders by Equipment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Dashboard!$D$5:$D$7</c:f>
              <c:strCache>
                <c:ptCount val="3"/>
                <c:pt idx="0">
                  <c:v>FORKLIFT</c:v>
                </c:pt>
                <c:pt idx="1">
                  <c:v>CONVEYOR</c:v>
                </c:pt>
                <c:pt idx="2">
                  <c:v>GENERATOR</c:v>
                </c:pt>
              </c:strCache>
            </c:strRef>
          </c:cat>
          <c:val>
            <c:numRef>
              <c:f>Dashboard!$E$5:$E$7</c:f>
              <c:numCache>
                <c:formatCode>#,##0</c:formatCode>
                <c:ptCount val="3"/>
                <c:pt idx="0">
                  <c:v>12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B-4929-BCBA-27DFAE6CD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370247"/>
        <c:axId val="151380487"/>
      </c:barChart>
      <c:catAx>
        <c:axId val="151370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Equipment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80487"/>
        <c:crosses val="autoZero"/>
        <c:auto val="1"/>
        <c:lblAlgn val="ctr"/>
        <c:lblOffset val="100"/>
        <c:noMultiLvlLbl val="0"/>
      </c:catAx>
      <c:valAx>
        <c:axId val="151380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Work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70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7" name="Work Orders by Equipment Type">
          <a:extLst>
            <a:ext uri="{FF2B5EF4-FFF2-40B4-BE49-F238E27FC236}">
              <a16:creationId xmlns:a16="http://schemas.microsoft.com/office/drawing/2014/main" id="{9544B672-40A7-F6BA-8E35-F50134FE2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EE263A-B12A-43DB-959D-4144D68491A5}" name="RawWorkOrders" displayName="RawWorkOrders" ref="A1:J24" totalsRowShown="0">
  <autoFilter ref="A1:J24" xr:uid="{56EE263A-B12A-43DB-959D-4144D68491A5}"/>
  <tableColumns count="10">
    <tableColumn id="1" xr3:uid="{F4A41285-559E-4928-AEE3-884C340836E1}" name="Work_Order_ID"/>
    <tableColumn id="2" xr3:uid="{3C14A5E2-6A92-43BC-A1B2-BE44528A8306}" name="Open_Date" dataDxfId="3"/>
    <tableColumn id="3" xr3:uid="{354757B0-2620-4E0B-81CD-2D89025E35FE}" name="Close_Date" dataDxfId="2"/>
    <tableColumn id="4" xr3:uid="{62C9E494-96F4-4F5D-98D3-7CB15FFF0CF4}" name="Status"/>
    <tableColumn id="5" xr3:uid="{94CCEF2A-CF1A-4C4F-8C2C-B1420F9EB5C0}" name="Equipment_Type"/>
    <tableColumn id="6" xr3:uid="{54029F9B-8B64-4FE6-BB57-C5AA612335E5}" name="Location"/>
    <tableColumn id="7" xr3:uid="{B8144DA5-024E-421F-8FB7-EBB486ED652B}" name="Technician"/>
    <tableColumn id="8" xr3:uid="{23016722-11CA-4FD5-9BCC-3B6E517CB54C}" name="Labor_Hours" dataDxfId="1"/>
    <tableColumn id="9" xr3:uid="{C8AE5C0C-7F04-457A-9D83-4274102D5E3E}" name="Parts_Cost" dataDxfId="0"/>
    <tableColumn id="10" xr3:uid="{83544318-626D-4423-9C8D-4B890F86A874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workbookViewId="0">
      <selection activeCell="A2" sqref="A2:J24"/>
    </sheetView>
  </sheetViews>
  <sheetFormatPr baseColWidth="10" defaultColWidth="8.83203125" defaultRowHeight="15" x14ac:dyDescent="0.2"/>
  <cols>
    <col min="1" max="1" width="17.6640625" bestFit="1" customWidth="1"/>
    <col min="2" max="3" width="13.5" bestFit="1" customWidth="1"/>
    <col min="4" max="4" width="10.6640625" bestFit="1" customWidth="1"/>
    <col min="5" max="5" width="18.6640625" bestFit="1" customWidth="1"/>
    <col min="6" max="7" width="12.83203125" bestFit="1" customWidth="1"/>
    <col min="8" max="8" width="14.83203125" bestFit="1" customWidth="1"/>
    <col min="9" max="9" width="13" bestFit="1" customWidth="1"/>
    <col min="10" max="10" width="10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s="1">
        <v>46204</v>
      </c>
      <c r="C2" s="1">
        <v>46205</v>
      </c>
      <c r="D2" t="s">
        <v>11</v>
      </c>
      <c r="E2" t="s">
        <v>12</v>
      </c>
      <c r="F2" t="s">
        <v>13</v>
      </c>
      <c r="G2" t="s">
        <v>14</v>
      </c>
      <c r="H2" s="2">
        <v>2.5</v>
      </c>
      <c r="I2" s="3">
        <v>84.5</v>
      </c>
      <c r="J2" t="s">
        <v>15</v>
      </c>
    </row>
    <row r="3" spans="1:10" x14ac:dyDescent="0.2">
      <c r="A3" t="s">
        <v>16</v>
      </c>
      <c r="B3" s="1">
        <v>46204</v>
      </c>
      <c r="C3" s="1"/>
      <c r="D3" t="s">
        <v>17</v>
      </c>
      <c r="E3" t="s">
        <v>12</v>
      </c>
      <c r="F3" t="s">
        <v>13</v>
      </c>
      <c r="G3" t="s">
        <v>18</v>
      </c>
      <c r="H3" s="2">
        <v>1</v>
      </c>
      <c r="I3" s="3">
        <v>0</v>
      </c>
      <c r="J3" t="s">
        <v>19</v>
      </c>
    </row>
    <row r="4" spans="1:10" x14ac:dyDescent="0.2">
      <c r="A4" t="s">
        <v>20</v>
      </c>
      <c r="B4" s="1">
        <v>46205</v>
      </c>
      <c r="C4" s="1">
        <v>46208</v>
      </c>
      <c r="D4" t="s">
        <v>21</v>
      </c>
      <c r="E4" t="s">
        <v>22</v>
      </c>
      <c r="F4" t="s">
        <v>23</v>
      </c>
      <c r="G4" t="s">
        <v>14</v>
      </c>
      <c r="H4" s="2">
        <v>4</v>
      </c>
      <c r="I4" s="3">
        <v>220.75</v>
      </c>
      <c r="J4" t="s">
        <v>15</v>
      </c>
    </row>
    <row r="5" spans="1:10" x14ac:dyDescent="0.2">
      <c r="A5" t="s">
        <v>24</v>
      </c>
      <c r="B5" s="1">
        <v>46206</v>
      </c>
      <c r="C5" s="1">
        <v>46206</v>
      </c>
      <c r="D5" t="s">
        <v>25</v>
      </c>
      <c r="E5" t="s">
        <v>26</v>
      </c>
      <c r="F5" t="s">
        <v>13</v>
      </c>
      <c r="G5" t="s">
        <v>27</v>
      </c>
      <c r="H5" s="2">
        <v>1.5</v>
      </c>
      <c r="I5" s="3">
        <v>45</v>
      </c>
      <c r="J5" t="s">
        <v>28</v>
      </c>
    </row>
    <row r="6" spans="1:10" x14ac:dyDescent="0.2">
      <c r="A6" t="s">
        <v>29</v>
      </c>
      <c r="B6" s="1">
        <v>46206</v>
      </c>
      <c r="C6" s="1"/>
      <c r="D6" t="s">
        <v>30</v>
      </c>
      <c r="E6" t="s">
        <v>26</v>
      </c>
      <c r="F6" t="s">
        <v>23</v>
      </c>
      <c r="G6" t="s">
        <v>18</v>
      </c>
      <c r="H6" s="2">
        <v>3</v>
      </c>
      <c r="I6" s="3">
        <v>110.25</v>
      </c>
      <c r="J6" t="s">
        <v>19</v>
      </c>
    </row>
    <row r="7" spans="1:10" x14ac:dyDescent="0.2">
      <c r="A7" t="s">
        <v>31</v>
      </c>
      <c r="B7" s="1">
        <v>46207</v>
      </c>
      <c r="C7" s="1">
        <v>46209</v>
      </c>
      <c r="D7" t="s">
        <v>32</v>
      </c>
      <c r="E7" t="s">
        <v>33</v>
      </c>
      <c r="F7" t="s">
        <v>13</v>
      </c>
      <c r="G7" t="s">
        <v>14</v>
      </c>
      <c r="H7" s="2">
        <v>2</v>
      </c>
      <c r="I7" s="3">
        <v>64</v>
      </c>
      <c r="J7" t="s">
        <v>15</v>
      </c>
    </row>
    <row r="8" spans="1:10" x14ac:dyDescent="0.2">
      <c r="A8" t="s">
        <v>34</v>
      </c>
      <c r="B8" s="1">
        <v>46208</v>
      </c>
      <c r="C8" s="1">
        <v>46210</v>
      </c>
      <c r="D8" t="s">
        <v>11</v>
      </c>
      <c r="E8" t="s">
        <v>35</v>
      </c>
      <c r="F8" t="s">
        <v>36</v>
      </c>
      <c r="G8" t="s">
        <v>27</v>
      </c>
      <c r="H8" s="2">
        <v>5.5</v>
      </c>
      <c r="I8" s="3">
        <v>410</v>
      </c>
      <c r="J8" t="s">
        <v>15</v>
      </c>
    </row>
    <row r="9" spans="1:10" x14ac:dyDescent="0.2">
      <c r="A9" t="s">
        <v>37</v>
      </c>
      <c r="B9" s="1">
        <v>46208</v>
      </c>
      <c r="C9" s="1"/>
      <c r="D9" t="s">
        <v>17</v>
      </c>
      <c r="E9" t="s">
        <v>35</v>
      </c>
      <c r="F9" t="s">
        <v>36</v>
      </c>
      <c r="G9" t="s">
        <v>18</v>
      </c>
      <c r="H9" s="2">
        <v>0.5</v>
      </c>
      <c r="I9" s="3">
        <v>0</v>
      </c>
      <c r="J9" t="s">
        <v>28</v>
      </c>
    </row>
    <row r="10" spans="1:10" x14ac:dyDescent="0.2">
      <c r="A10" t="s">
        <v>38</v>
      </c>
      <c r="B10" s="1">
        <v>46209</v>
      </c>
      <c r="C10" s="1">
        <v>46211</v>
      </c>
      <c r="D10" t="s">
        <v>21</v>
      </c>
      <c r="E10" t="s">
        <v>12</v>
      </c>
      <c r="F10" t="s">
        <v>23</v>
      </c>
      <c r="G10" t="s">
        <v>14</v>
      </c>
      <c r="H10" s="2">
        <v>3.5</v>
      </c>
      <c r="I10" s="3">
        <v>175</v>
      </c>
      <c r="J10" t="s">
        <v>19</v>
      </c>
    </row>
    <row r="11" spans="1:10" x14ac:dyDescent="0.2">
      <c r="A11" t="s">
        <v>39</v>
      </c>
      <c r="B11" s="1">
        <v>46209</v>
      </c>
      <c r="C11" s="1"/>
      <c r="D11" t="s">
        <v>32</v>
      </c>
      <c r="E11" t="s">
        <v>26</v>
      </c>
      <c r="F11" t="s">
        <v>13</v>
      </c>
      <c r="G11" t="s">
        <v>27</v>
      </c>
      <c r="H11" s="2">
        <v>2.5</v>
      </c>
      <c r="I11" s="3">
        <v>89.5</v>
      </c>
      <c r="J11" t="s">
        <v>19</v>
      </c>
    </row>
    <row r="12" spans="1:10" x14ac:dyDescent="0.2">
      <c r="A12" t="s">
        <v>40</v>
      </c>
      <c r="B12" s="1">
        <v>46210</v>
      </c>
      <c r="C12" s="1">
        <v>46212</v>
      </c>
      <c r="D12" t="s">
        <v>11</v>
      </c>
      <c r="E12" t="s">
        <v>22</v>
      </c>
      <c r="F12" t="s">
        <v>23</v>
      </c>
      <c r="G12" t="s">
        <v>18</v>
      </c>
      <c r="H12" s="2">
        <v>4</v>
      </c>
      <c r="I12" s="3">
        <v>315</v>
      </c>
      <c r="J12" t="s">
        <v>15</v>
      </c>
    </row>
    <row r="13" spans="1:10" x14ac:dyDescent="0.2">
      <c r="A13" t="s">
        <v>41</v>
      </c>
      <c r="B13" s="1">
        <v>46211</v>
      </c>
      <c r="C13" s="1"/>
      <c r="D13" t="s">
        <v>17</v>
      </c>
      <c r="E13" t="s">
        <v>33</v>
      </c>
      <c r="F13" t="s">
        <v>13</v>
      </c>
      <c r="G13" t="s">
        <v>14</v>
      </c>
      <c r="H13" s="2">
        <v>1</v>
      </c>
      <c r="I13" s="3">
        <v>0</v>
      </c>
      <c r="J13" t="s">
        <v>28</v>
      </c>
    </row>
    <row r="14" spans="1:10" x14ac:dyDescent="0.2">
      <c r="A14" t="s">
        <v>42</v>
      </c>
      <c r="B14" s="1">
        <v>46211</v>
      </c>
      <c r="C14" s="1">
        <v>46213</v>
      </c>
      <c r="D14" t="s">
        <v>11</v>
      </c>
      <c r="E14" t="s">
        <v>35</v>
      </c>
      <c r="F14" t="s">
        <v>36</v>
      </c>
      <c r="G14" t="s">
        <v>27</v>
      </c>
      <c r="H14" s="2">
        <v>6</v>
      </c>
      <c r="I14" s="3">
        <v>525</v>
      </c>
      <c r="J14" t="s">
        <v>15</v>
      </c>
    </row>
    <row r="15" spans="1:10" x14ac:dyDescent="0.2">
      <c r="A15" t="s">
        <v>43</v>
      </c>
      <c r="B15" s="1">
        <v>46212</v>
      </c>
      <c r="C15" s="1">
        <v>46214</v>
      </c>
      <c r="D15" t="s">
        <v>21</v>
      </c>
      <c r="E15" t="s">
        <v>26</v>
      </c>
      <c r="F15" t="s">
        <v>23</v>
      </c>
      <c r="G15" t="s">
        <v>18</v>
      </c>
      <c r="H15" s="2">
        <v>2</v>
      </c>
      <c r="I15" s="3">
        <v>-25</v>
      </c>
      <c r="J15" t="s">
        <v>19</v>
      </c>
    </row>
    <row r="16" spans="1:10" x14ac:dyDescent="0.2">
      <c r="A16" t="s">
        <v>44</v>
      </c>
      <c r="B16" s="1">
        <v>46213</v>
      </c>
      <c r="C16" s="1"/>
      <c r="D16" t="s">
        <v>30</v>
      </c>
      <c r="E16" t="s">
        <v>12</v>
      </c>
      <c r="F16" t="s">
        <v>13</v>
      </c>
      <c r="G16" t="s">
        <v>14</v>
      </c>
      <c r="H16" s="2">
        <v>3</v>
      </c>
      <c r="I16" s="3">
        <v>140</v>
      </c>
      <c r="J16" t="s">
        <v>15</v>
      </c>
    </row>
    <row r="17" spans="1:10" x14ac:dyDescent="0.2">
      <c r="A17" t="s">
        <v>45</v>
      </c>
      <c r="B17" s="1">
        <v>46213</v>
      </c>
      <c r="C17" s="1">
        <v>46215</v>
      </c>
      <c r="D17" t="s">
        <v>25</v>
      </c>
      <c r="E17" t="s">
        <v>35</v>
      </c>
      <c r="F17" t="s">
        <v>36</v>
      </c>
      <c r="G17" t="s">
        <v>27</v>
      </c>
      <c r="H17" s="2">
        <v>4.5</v>
      </c>
      <c r="I17" s="3">
        <v>290</v>
      </c>
      <c r="J17" t="s">
        <v>19</v>
      </c>
    </row>
    <row r="18" spans="1:10" x14ac:dyDescent="0.2">
      <c r="A18" t="s">
        <v>46</v>
      </c>
      <c r="B18" s="1">
        <v>46214</v>
      </c>
      <c r="C18" s="1"/>
      <c r="D18" t="s">
        <v>17</v>
      </c>
      <c r="E18" t="s">
        <v>22</v>
      </c>
      <c r="F18" t="s">
        <v>23</v>
      </c>
      <c r="G18" t="s">
        <v>18</v>
      </c>
      <c r="H18" s="2">
        <v>1.5</v>
      </c>
      <c r="I18" s="3">
        <v>0</v>
      </c>
      <c r="J18" t="s">
        <v>28</v>
      </c>
    </row>
    <row r="19" spans="1:10" x14ac:dyDescent="0.2">
      <c r="A19" t="s">
        <v>47</v>
      </c>
      <c r="B19" s="1">
        <v>46215</v>
      </c>
      <c r="C19" s="1">
        <v>46217</v>
      </c>
      <c r="D19" t="s">
        <v>32</v>
      </c>
      <c r="E19" t="s">
        <v>26</v>
      </c>
      <c r="F19" t="s">
        <v>13</v>
      </c>
      <c r="G19" t="s">
        <v>14</v>
      </c>
      <c r="H19" s="2">
        <v>3.5</v>
      </c>
      <c r="I19" s="3">
        <v>199</v>
      </c>
      <c r="J19" t="s">
        <v>15</v>
      </c>
    </row>
    <row r="20" spans="1:10" x14ac:dyDescent="0.2">
      <c r="A20" t="s">
        <v>48</v>
      </c>
      <c r="B20" s="1">
        <v>46215</v>
      </c>
      <c r="C20" s="1">
        <v>46217</v>
      </c>
      <c r="D20" t="s">
        <v>11</v>
      </c>
      <c r="E20" t="s">
        <v>33</v>
      </c>
      <c r="F20" t="s">
        <v>23</v>
      </c>
      <c r="G20" t="s">
        <v>27</v>
      </c>
      <c r="H20" s="2">
        <v>2.5</v>
      </c>
      <c r="I20" s="3">
        <v>105</v>
      </c>
      <c r="J20" t="s">
        <v>19</v>
      </c>
    </row>
    <row r="21" spans="1:10" x14ac:dyDescent="0.2">
      <c r="A21" t="s">
        <v>49</v>
      </c>
      <c r="B21" s="1">
        <v>46216</v>
      </c>
      <c r="C21" s="1"/>
      <c r="D21" t="s">
        <v>17</v>
      </c>
      <c r="E21" t="s">
        <v>35</v>
      </c>
      <c r="F21" t="s">
        <v>36</v>
      </c>
      <c r="G21" t="s">
        <v>18</v>
      </c>
      <c r="H21" s="2">
        <v>1</v>
      </c>
      <c r="I21" s="3">
        <v>0</v>
      </c>
      <c r="J21" t="s">
        <v>28</v>
      </c>
    </row>
    <row r="22" spans="1:10" x14ac:dyDescent="0.2">
      <c r="B22" s="1">
        <v>46216</v>
      </c>
      <c r="C22" s="1">
        <v>46218</v>
      </c>
      <c r="D22" t="s">
        <v>32</v>
      </c>
      <c r="E22" t="s">
        <v>12</v>
      </c>
      <c r="F22" t="s">
        <v>13</v>
      </c>
      <c r="G22" t="s">
        <v>14</v>
      </c>
      <c r="H22" s="2">
        <v>2</v>
      </c>
      <c r="I22" s="3">
        <v>75</v>
      </c>
      <c r="J22" t="s">
        <v>19</v>
      </c>
    </row>
    <row r="23" spans="1:10" x14ac:dyDescent="0.2">
      <c r="A23" t="s">
        <v>50</v>
      </c>
      <c r="B23" s="1">
        <v>46217</v>
      </c>
      <c r="C23" s="1"/>
      <c r="D23" t="s">
        <v>32</v>
      </c>
      <c r="E23" t="s">
        <v>26</v>
      </c>
      <c r="F23" t="s">
        <v>23</v>
      </c>
      <c r="G23" t="s">
        <v>27</v>
      </c>
      <c r="H23" s="2">
        <v>2</v>
      </c>
      <c r="I23" s="3">
        <v>120</v>
      </c>
      <c r="J23" t="s">
        <v>15</v>
      </c>
    </row>
    <row r="24" spans="1:10" x14ac:dyDescent="0.2">
      <c r="A24" t="s">
        <v>48</v>
      </c>
      <c r="B24" s="1">
        <v>46215</v>
      </c>
      <c r="C24" s="1">
        <v>46217</v>
      </c>
      <c r="D24" t="s">
        <v>11</v>
      </c>
      <c r="E24" t="s">
        <v>33</v>
      </c>
      <c r="F24" t="s">
        <v>23</v>
      </c>
      <c r="G24" t="s">
        <v>27</v>
      </c>
      <c r="H24" s="2">
        <v>2.5</v>
      </c>
      <c r="I24" s="3">
        <v>105</v>
      </c>
      <c r="J24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4143-3F67-46A6-B2EE-1F513B4D2F2D}">
  <dimension ref="A1:N24"/>
  <sheetViews>
    <sheetView topLeftCell="L1" workbookViewId="0">
      <selection activeCell="T6" sqref="T6"/>
    </sheetView>
  </sheetViews>
  <sheetFormatPr baseColWidth="10" defaultColWidth="8.83203125" defaultRowHeight="15" x14ac:dyDescent="0.2"/>
  <cols>
    <col min="1" max="1" width="15.1640625" bestFit="1" customWidth="1"/>
    <col min="2" max="3" width="9.33203125" bestFit="1" customWidth="1"/>
    <col min="11" max="11" width="15.6640625" bestFit="1" customWidth="1"/>
    <col min="12" max="12" width="19.83203125" bestFit="1" customWidth="1"/>
    <col min="13" max="13" width="11.1640625" bestFit="1" customWidth="1"/>
    <col min="14" max="14" width="17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51</v>
      </c>
      <c r="L1" t="s">
        <v>52</v>
      </c>
      <c r="M1" t="s">
        <v>53</v>
      </c>
      <c r="N1" t="s">
        <v>54</v>
      </c>
    </row>
    <row r="2" spans="1:14" x14ac:dyDescent="0.2">
      <c r="A2" s="4" t="s">
        <v>10</v>
      </c>
      <c r="B2" s="5">
        <v>46204</v>
      </c>
      <c r="C2" s="5">
        <v>46205</v>
      </c>
      <c r="D2" s="6" t="s">
        <v>11</v>
      </c>
      <c r="E2" s="6" t="s">
        <v>12</v>
      </c>
      <c r="F2" s="6" t="s">
        <v>13</v>
      </c>
      <c r="G2" s="6" t="s">
        <v>14</v>
      </c>
      <c r="H2" s="7">
        <v>2.5</v>
      </c>
      <c r="I2" s="8">
        <v>84.5</v>
      </c>
      <c r="J2" s="9" t="s">
        <v>15</v>
      </c>
      <c r="K2" t="str">
        <f>IF(OR(UPPER(TRIM(D2))="CLOSED",UPPER(TRIM(D2))="COMPLETE",UPPER(TRIM(D2))="COMPLETED"),"COMPLETED",IF(UPPER(TRIM(D2))="IN PROGRESS","IN PROGRESS",UPPER(TRIM(D2))))</f>
        <v>COMPLETED</v>
      </c>
      <c r="L2" t="str">
        <f>IF(OR(LOWER(TRIM(E2))="forklift",LOWER(TRIM(E2))="fork lift",UPPER(TRIM(E2))="FL"),"FORKLIFT",UPPER(TRIM(E2)))</f>
        <v>FORKLIFT</v>
      </c>
      <c r="M2">
        <f ca="1">IF(C2="",TODAY()-B2,C2-B2)</f>
        <v>1</v>
      </c>
      <c r="N2" t="str">
        <f>_xlfn.TEXTJOIN("; ",TRUE,IF(A2="","Missing work order ID",""),IF(AND(K2="COMPLETED",C2=""),"Completed with no close date",""),IF(I2&lt;0,"Negative parts cost",""),IF(COUNTIF($A$2:$A$24,A2)&gt;1,"Duplicate work order ID",""))</f>
        <v/>
      </c>
    </row>
    <row r="3" spans="1:14" x14ac:dyDescent="0.2">
      <c r="A3" s="10" t="s">
        <v>16</v>
      </c>
      <c r="B3" s="11">
        <v>46204</v>
      </c>
      <c r="C3" s="11"/>
      <c r="D3" s="12" t="s">
        <v>17</v>
      </c>
      <c r="E3" s="12" t="s">
        <v>12</v>
      </c>
      <c r="F3" s="12" t="s">
        <v>13</v>
      </c>
      <c r="G3" s="12" t="s">
        <v>18</v>
      </c>
      <c r="H3" s="13">
        <v>1</v>
      </c>
      <c r="I3" s="14">
        <v>0</v>
      </c>
      <c r="J3" s="15" t="s">
        <v>19</v>
      </c>
      <c r="K3" t="str">
        <f t="shared" ref="K3:K24" si="0">IF(OR(UPPER(TRIM(D3))="CLOSED",UPPER(TRIM(D3))="COMPLETE",UPPER(TRIM(D3))="COMPLETED"),"COMPLETED",IF(UPPER(TRIM(D3))="IN PROGRESS","IN PROGRESS",UPPER(TRIM(D3))))</f>
        <v>OPEN</v>
      </c>
      <c r="L3" t="str">
        <f t="shared" ref="L3:L24" si="1">IF(OR(LOWER(TRIM(E3))="forklift",LOWER(TRIM(E3))="fork lift",UPPER(TRIM(E3))="FL"),"FORKLIFT",UPPER(TRIM(E3)))</f>
        <v>FORKLIFT</v>
      </c>
      <c r="M3">
        <f t="shared" ref="M3:M24" ca="1" si="2">IF(C3="",TODAY()-B3,C3-B3)</f>
        <v>49</v>
      </c>
      <c r="N3" t="str">
        <f t="shared" ref="N3:N24" si="3">_xlfn.TEXTJOIN("; ",TRUE,IF(A3="","Missing work order ID",""),IF(AND(K3="COMPLETED",C3=""),"Completed with no close date",""),IF(I3&lt;0,"Negative parts cost",""),IF(COUNTIF($A$2:$A$24,A3)&gt;1,"Duplicate work order ID",""))</f>
        <v/>
      </c>
    </row>
    <row r="4" spans="1:14" x14ac:dyDescent="0.2">
      <c r="A4" s="4" t="s">
        <v>20</v>
      </c>
      <c r="B4" s="5">
        <v>46205</v>
      </c>
      <c r="C4" s="5">
        <v>46208</v>
      </c>
      <c r="D4" s="6" t="s">
        <v>21</v>
      </c>
      <c r="E4" s="6" t="s">
        <v>22</v>
      </c>
      <c r="F4" s="6" t="s">
        <v>23</v>
      </c>
      <c r="G4" s="6" t="s">
        <v>14</v>
      </c>
      <c r="H4" s="7">
        <v>4</v>
      </c>
      <c r="I4" s="8">
        <v>220.75</v>
      </c>
      <c r="J4" s="9" t="s">
        <v>15</v>
      </c>
      <c r="K4" t="str">
        <f t="shared" si="0"/>
        <v>COMPLETED</v>
      </c>
      <c r="L4" t="str">
        <f t="shared" si="1"/>
        <v>FORKLIFT</v>
      </c>
      <c r="M4">
        <f t="shared" ca="1" si="2"/>
        <v>3</v>
      </c>
      <c r="N4" t="str">
        <f t="shared" si="3"/>
        <v/>
      </c>
    </row>
    <row r="5" spans="1:14" x14ac:dyDescent="0.2">
      <c r="A5" s="10" t="s">
        <v>24</v>
      </c>
      <c r="B5" s="11">
        <v>46206</v>
      </c>
      <c r="C5" s="11">
        <v>46206</v>
      </c>
      <c r="D5" s="12" t="s">
        <v>25</v>
      </c>
      <c r="E5" s="12" t="s">
        <v>26</v>
      </c>
      <c r="F5" s="12" t="s">
        <v>13</v>
      </c>
      <c r="G5" s="12" t="s">
        <v>27</v>
      </c>
      <c r="H5" s="13">
        <v>1.5</v>
      </c>
      <c r="I5" s="14">
        <v>45</v>
      </c>
      <c r="J5" s="15" t="s">
        <v>28</v>
      </c>
      <c r="K5" t="str">
        <f t="shared" si="0"/>
        <v>COMPLETED</v>
      </c>
      <c r="L5" t="str">
        <f t="shared" si="1"/>
        <v>CONVEYOR</v>
      </c>
      <c r="M5">
        <f t="shared" ca="1" si="2"/>
        <v>0</v>
      </c>
      <c r="N5" t="str">
        <f t="shared" si="3"/>
        <v/>
      </c>
    </row>
    <row r="6" spans="1:14" x14ac:dyDescent="0.2">
      <c r="A6" s="4" t="s">
        <v>29</v>
      </c>
      <c r="B6" s="5">
        <v>46206</v>
      </c>
      <c r="C6" s="5"/>
      <c r="D6" s="6" t="s">
        <v>30</v>
      </c>
      <c r="E6" s="6" t="s">
        <v>26</v>
      </c>
      <c r="F6" s="6" t="s">
        <v>23</v>
      </c>
      <c r="G6" s="6" t="s">
        <v>18</v>
      </c>
      <c r="H6" s="7">
        <v>3</v>
      </c>
      <c r="I6" s="8">
        <v>110.25</v>
      </c>
      <c r="J6" s="9" t="s">
        <v>19</v>
      </c>
      <c r="K6" t="str">
        <f t="shared" si="0"/>
        <v>IN PROGRESS</v>
      </c>
      <c r="L6" t="str">
        <f t="shared" si="1"/>
        <v>CONVEYOR</v>
      </c>
      <c r="M6">
        <f t="shared" ca="1" si="2"/>
        <v>47</v>
      </c>
      <c r="N6" t="str">
        <f t="shared" si="3"/>
        <v/>
      </c>
    </row>
    <row r="7" spans="1:14" x14ac:dyDescent="0.2">
      <c r="A7" s="10" t="s">
        <v>31</v>
      </c>
      <c r="B7" s="11">
        <v>46207</v>
      </c>
      <c r="C7" s="11">
        <v>46209</v>
      </c>
      <c r="D7" s="12" t="s">
        <v>32</v>
      </c>
      <c r="E7" s="12" t="s">
        <v>33</v>
      </c>
      <c r="F7" s="12" t="s">
        <v>13</v>
      </c>
      <c r="G7" s="12" t="s">
        <v>14</v>
      </c>
      <c r="H7" s="13">
        <v>2</v>
      </c>
      <c r="I7" s="14">
        <v>64</v>
      </c>
      <c r="J7" s="15" t="s">
        <v>15</v>
      </c>
      <c r="K7" t="str">
        <f t="shared" si="0"/>
        <v>COMPLETED</v>
      </c>
      <c r="L7" t="str">
        <f t="shared" si="1"/>
        <v>FORKLIFT</v>
      </c>
      <c r="M7">
        <f t="shared" ca="1" si="2"/>
        <v>2</v>
      </c>
      <c r="N7" t="str">
        <f t="shared" si="3"/>
        <v/>
      </c>
    </row>
    <row r="8" spans="1:14" x14ac:dyDescent="0.2">
      <c r="A8" s="4" t="s">
        <v>34</v>
      </c>
      <c r="B8" s="5">
        <v>46208</v>
      </c>
      <c r="C8" s="5">
        <v>46210</v>
      </c>
      <c r="D8" s="6" t="s">
        <v>11</v>
      </c>
      <c r="E8" s="6" t="s">
        <v>35</v>
      </c>
      <c r="F8" s="6" t="s">
        <v>36</v>
      </c>
      <c r="G8" s="6" t="s">
        <v>27</v>
      </c>
      <c r="H8" s="7">
        <v>5.5</v>
      </c>
      <c r="I8" s="8">
        <v>410</v>
      </c>
      <c r="J8" s="9" t="s">
        <v>15</v>
      </c>
      <c r="K8" t="str">
        <f t="shared" si="0"/>
        <v>COMPLETED</v>
      </c>
      <c r="L8" t="str">
        <f t="shared" si="1"/>
        <v>GENERATOR</v>
      </c>
      <c r="M8">
        <f t="shared" ca="1" si="2"/>
        <v>2</v>
      </c>
      <c r="N8" t="str">
        <f t="shared" si="3"/>
        <v/>
      </c>
    </row>
    <row r="9" spans="1:14" x14ac:dyDescent="0.2">
      <c r="A9" s="10" t="s">
        <v>37</v>
      </c>
      <c r="B9" s="11">
        <v>46208</v>
      </c>
      <c r="C9" s="11"/>
      <c r="D9" s="12" t="s">
        <v>17</v>
      </c>
      <c r="E9" s="12" t="s">
        <v>35</v>
      </c>
      <c r="F9" s="12" t="s">
        <v>36</v>
      </c>
      <c r="G9" s="12" t="s">
        <v>18</v>
      </c>
      <c r="H9" s="13">
        <v>0.5</v>
      </c>
      <c r="I9" s="14">
        <v>0</v>
      </c>
      <c r="J9" s="15" t="s">
        <v>28</v>
      </c>
      <c r="K9" t="str">
        <f t="shared" si="0"/>
        <v>OPEN</v>
      </c>
      <c r="L9" t="str">
        <f t="shared" si="1"/>
        <v>GENERATOR</v>
      </c>
      <c r="M9">
        <f t="shared" ca="1" si="2"/>
        <v>45</v>
      </c>
      <c r="N9" t="str">
        <f t="shared" si="3"/>
        <v/>
      </c>
    </row>
    <row r="10" spans="1:14" x14ac:dyDescent="0.2">
      <c r="A10" s="4" t="s">
        <v>38</v>
      </c>
      <c r="B10" s="5">
        <v>46209</v>
      </c>
      <c r="C10" s="5">
        <v>46211</v>
      </c>
      <c r="D10" s="6" t="s">
        <v>21</v>
      </c>
      <c r="E10" s="6" t="s">
        <v>12</v>
      </c>
      <c r="F10" s="6" t="s">
        <v>23</v>
      </c>
      <c r="G10" s="6" t="s">
        <v>14</v>
      </c>
      <c r="H10" s="7">
        <v>3.5</v>
      </c>
      <c r="I10" s="8">
        <v>175</v>
      </c>
      <c r="J10" s="9" t="s">
        <v>19</v>
      </c>
      <c r="K10" t="str">
        <f t="shared" si="0"/>
        <v>COMPLETED</v>
      </c>
      <c r="L10" t="str">
        <f t="shared" si="1"/>
        <v>FORKLIFT</v>
      </c>
      <c r="M10">
        <f t="shared" ca="1" si="2"/>
        <v>2</v>
      </c>
      <c r="N10" t="str">
        <f t="shared" si="3"/>
        <v/>
      </c>
    </row>
    <row r="11" spans="1:14" x14ac:dyDescent="0.2">
      <c r="A11" s="10" t="s">
        <v>39</v>
      </c>
      <c r="B11" s="11">
        <v>46209</v>
      </c>
      <c r="C11" s="11"/>
      <c r="D11" s="12" t="s">
        <v>32</v>
      </c>
      <c r="E11" s="12" t="s">
        <v>26</v>
      </c>
      <c r="F11" s="12" t="s">
        <v>13</v>
      </c>
      <c r="G11" s="12" t="s">
        <v>27</v>
      </c>
      <c r="H11" s="13">
        <v>2.5</v>
      </c>
      <c r="I11" s="14">
        <v>89.5</v>
      </c>
      <c r="J11" s="15" t="s">
        <v>19</v>
      </c>
      <c r="K11" t="str">
        <f t="shared" si="0"/>
        <v>COMPLETED</v>
      </c>
      <c r="L11" t="str">
        <f t="shared" si="1"/>
        <v>CONVEYOR</v>
      </c>
      <c r="M11">
        <f t="shared" ca="1" si="2"/>
        <v>44</v>
      </c>
      <c r="N11" t="str">
        <f t="shared" si="3"/>
        <v>Completed with no close date</v>
      </c>
    </row>
    <row r="12" spans="1:14" x14ac:dyDescent="0.2">
      <c r="A12" s="4" t="s">
        <v>40</v>
      </c>
      <c r="B12" s="5">
        <v>46210</v>
      </c>
      <c r="C12" s="5">
        <v>46212</v>
      </c>
      <c r="D12" s="6" t="s">
        <v>11</v>
      </c>
      <c r="E12" s="6" t="s">
        <v>22</v>
      </c>
      <c r="F12" s="6" t="s">
        <v>23</v>
      </c>
      <c r="G12" s="6" t="s">
        <v>18</v>
      </c>
      <c r="H12" s="7">
        <v>4</v>
      </c>
      <c r="I12" s="8">
        <v>315</v>
      </c>
      <c r="J12" s="9" t="s">
        <v>15</v>
      </c>
      <c r="K12" t="str">
        <f t="shared" si="0"/>
        <v>COMPLETED</v>
      </c>
      <c r="L12" t="str">
        <f t="shared" si="1"/>
        <v>FORKLIFT</v>
      </c>
      <c r="M12">
        <f t="shared" ca="1" si="2"/>
        <v>2</v>
      </c>
      <c r="N12" t="str">
        <f t="shared" si="3"/>
        <v/>
      </c>
    </row>
    <row r="13" spans="1:14" x14ac:dyDescent="0.2">
      <c r="A13" s="10" t="s">
        <v>41</v>
      </c>
      <c r="B13" s="11">
        <v>46211</v>
      </c>
      <c r="C13" s="11"/>
      <c r="D13" s="12" t="s">
        <v>17</v>
      </c>
      <c r="E13" s="12" t="s">
        <v>33</v>
      </c>
      <c r="F13" s="12" t="s">
        <v>13</v>
      </c>
      <c r="G13" s="12" t="s">
        <v>14</v>
      </c>
      <c r="H13" s="13">
        <v>1</v>
      </c>
      <c r="I13" s="14">
        <v>0</v>
      </c>
      <c r="J13" s="15" t="s">
        <v>28</v>
      </c>
      <c r="K13" t="str">
        <f t="shared" si="0"/>
        <v>OPEN</v>
      </c>
      <c r="L13" t="str">
        <f t="shared" si="1"/>
        <v>FORKLIFT</v>
      </c>
      <c r="M13">
        <f t="shared" ca="1" si="2"/>
        <v>42</v>
      </c>
      <c r="N13" t="str">
        <f t="shared" si="3"/>
        <v/>
      </c>
    </row>
    <row r="14" spans="1:14" x14ac:dyDescent="0.2">
      <c r="A14" s="4" t="s">
        <v>42</v>
      </c>
      <c r="B14" s="5">
        <v>46211</v>
      </c>
      <c r="C14" s="5">
        <v>46213</v>
      </c>
      <c r="D14" s="6" t="s">
        <v>11</v>
      </c>
      <c r="E14" s="6" t="s">
        <v>35</v>
      </c>
      <c r="F14" s="6" t="s">
        <v>36</v>
      </c>
      <c r="G14" s="6" t="s">
        <v>27</v>
      </c>
      <c r="H14" s="7">
        <v>6</v>
      </c>
      <c r="I14" s="8">
        <v>525</v>
      </c>
      <c r="J14" s="9" t="s">
        <v>15</v>
      </c>
      <c r="K14" t="str">
        <f t="shared" si="0"/>
        <v>COMPLETED</v>
      </c>
      <c r="L14" t="str">
        <f t="shared" si="1"/>
        <v>GENERATOR</v>
      </c>
      <c r="M14">
        <f t="shared" ca="1" si="2"/>
        <v>2</v>
      </c>
      <c r="N14" t="str">
        <f t="shared" si="3"/>
        <v/>
      </c>
    </row>
    <row r="15" spans="1:14" x14ac:dyDescent="0.2">
      <c r="A15" s="10" t="s">
        <v>43</v>
      </c>
      <c r="B15" s="11">
        <v>46212</v>
      </c>
      <c r="C15" s="11">
        <v>46214</v>
      </c>
      <c r="D15" s="12" t="s">
        <v>21</v>
      </c>
      <c r="E15" s="12" t="s">
        <v>26</v>
      </c>
      <c r="F15" s="12" t="s">
        <v>23</v>
      </c>
      <c r="G15" s="12" t="s">
        <v>18</v>
      </c>
      <c r="H15" s="13">
        <v>2</v>
      </c>
      <c r="I15" s="14">
        <v>-25</v>
      </c>
      <c r="J15" s="15" t="s">
        <v>19</v>
      </c>
      <c r="K15" t="str">
        <f t="shared" si="0"/>
        <v>COMPLETED</v>
      </c>
      <c r="L15" t="str">
        <f t="shared" si="1"/>
        <v>CONVEYOR</v>
      </c>
      <c r="M15">
        <f t="shared" ca="1" si="2"/>
        <v>2</v>
      </c>
      <c r="N15" t="str">
        <f t="shared" si="3"/>
        <v>Negative parts cost</v>
      </c>
    </row>
    <row r="16" spans="1:14" x14ac:dyDescent="0.2">
      <c r="A16" s="4" t="s">
        <v>44</v>
      </c>
      <c r="B16" s="5">
        <v>46213</v>
      </c>
      <c r="C16" s="5"/>
      <c r="D16" s="6" t="s">
        <v>30</v>
      </c>
      <c r="E16" s="6" t="s">
        <v>12</v>
      </c>
      <c r="F16" s="6" t="s">
        <v>13</v>
      </c>
      <c r="G16" s="6" t="s">
        <v>14</v>
      </c>
      <c r="H16" s="7">
        <v>3</v>
      </c>
      <c r="I16" s="8">
        <v>140</v>
      </c>
      <c r="J16" s="9" t="s">
        <v>15</v>
      </c>
      <c r="K16" t="str">
        <f t="shared" si="0"/>
        <v>IN PROGRESS</v>
      </c>
      <c r="L16" t="str">
        <f t="shared" si="1"/>
        <v>FORKLIFT</v>
      </c>
      <c r="M16">
        <f t="shared" ca="1" si="2"/>
        <v>40</v>
      </c>
      <c r="N16" t="str">
        <f t="shared" si="3"/>
        <v/>
      </c>
    </row>
    <row r="17" spans="1:14" x14ac:dyDescent="0.2">
      <c r="A17" s="10" t="s">
        <v>45</v>
      </c>
      <c r="B17" s="11">
        <v>46213</v>
      </c>
      <c r="C17" s="11">
        <v>46215</v>
      </c>
      <c r="D17" s="12" t="s">
        <v>25</v>
      </c>
      <c r="E17" s="12" t="s">
        <v>35</v>
      </c>
      <c r="F17" s="12" t="s">
        <v>36</v>
      </c>
      <c r="G17" s="12" t="s">
        <v>27</v>
      </c>
      <c r="H17" s="13">
        <v>4.5</v>
      </c>
      <c r="I17" s="14">
        <v>290</v>
      </c>
      <c r="J17" s="15" t="s">
        <v>19</v>
      </c>
      <c r="K17" t="str">
        <f t="shared" si="0"/>
        <v>COMPLETED</v>
      </c>
      <c r="L17" t="str">
        <f t="shared" si="1"/>
        <v>GENERATOR</v>
      </c>
      <c r="M17">
        <f t="shared" ca="1" si="2"/>
        <v>2</v>
      </c>
      <c r="N17" t="str">
        <f t="shared" si="3"/>
        <v/>
      </c>
    </row>
    <row r="18" spans="1:14" x14ac:dyDescent="0.2">
      <c r="A18" s="4" t="s">
        <v>46</v>
      </c>
      <c r="B18" s="5">
        <v>46214</v>
      </c>
      <c r="C18" s="5"/>
      <c r="D18" s="6" t="s">
        <v>17</v>
      </c>
      <c r="E18" s="6" t="s">
        <v>22</v>
      </c>
      <c r="F18" s="6" t="s">
        <v>23</v>
      </c>
      <c r="G18" s="6" t="s">
        <v>18</v>
      </c>
      <c r="H18" s="7">
        <v>1.5</v>
      </c>
      <c r="I18" s="8">
        <v>0</v>
      </c>
      <c r="J18" s="9" t="s">
        <v>28</v>
      </c>
      <c r="K18" t="str">
        <f t="shared" si="0"/>
        <v>OPEN</v>
      </c>
      <c r="L18" t="str">
        <f t="shared" si="1"/>
        <v>FORKLIFT</v>
      </c>
      <c r="M18">
        <f t="shared" ca="1" si="2"/>
        <v>39</v>
      </c>
      <c r="N18" t="str">
        <f t="shared" si="3"/>
        <v/>
      </c>
    </row>
    <row r="19" spans="1:14" x14ac:dyDescent="0.2">
      <c r="A19" s="10" t="s">
        <v>47</v>
      </c>
      <c r="B19" s="11">
        <v>46215</v>
      </c>
      <c r="C19" s="11">
        <v>46217</v>
      </c>
      <c r="D19" s="12" t="s">
        <v>32</v>
      </c>
      <c r="E19" s="12" t="s">
        <v>26</v>
      </c>
      <c r="F19" s="12" t="s">
        <v>13</v>
      </c>
      <c r="G19" s="12" t="s">
        <v>14</v>
      </c>
      <c r="H19" s="13">
        <v>3.5</v>
      </c>
      <c r="I19" s="14">
        <v>199</v>
      </c>
      <c r="J19" s="15" t="s">
        <v>15</v>
      </c>
      <c r="K19" t="str">
        <f t="shared" si="0"/>
        <v>COMPLETED</v>
      </c>
      <c r="L19" t="str">
        <f t="shared" si="1"/>
        <v>CONVEYOR</v>
      </c>
      <c r="M19">
        <f t="shared" ca="1" si="2"/>
        <v>2</v>
      </c>
      <c r="N19" t="str">
        <f t="shared" si="3"/>
        <v/>
      </c>
    </row>
    <row r="20" spans="1:14" x14ac:dyDescent="0.2">
      <c r="A20" s="4" t="s">
        <v>48</v>
      </c>
      <c r="B20" s="5">
        <v>46215</v>
      </c>
      <c r="C20" s="5">
        <v>46217</v>
      </c>
      <c r="D20" s="6" t="s">
        <v>11</v>
      </c>
      <c r="E20" s="6" t="s">
        <v>33</v>
      </c>
      <c r="F20" s="6" t="s">
        <v>23</v>
      </c>
      <c r="G20" s="6" t="s">
        <v>27</v>
      </c>
      <c r="H20" s="7">
        <v>2.5</v>
      </c>
      <c r="I20" s="8">
        <v>105</v>
      </c>
      <c r="J20" s="9" t="s">
        <v>19</v>
      </c>
      <c r="K20" t="str">
        <f t="shared" si="0"/>
        <v>COMPLETED</v>
      </c>
      <c r="L20" t="str">
        <f t="shared" si="1"/>
        <v>FORKLIFT</v>
      </c>
      <c r="M20">
        <f t="shared" ca="1" si="2"/>
        <v>2</v>
      </c>
      <c r="N20" t="str">
        <f t="shared" si="3"/>
        <v>Duplicate work order ID</v>
      </c>
    </row>
    <row r="21" spans="1:14" x14ac:dyDescent="0.2">
      <c r="A21" s="10" t="s">
        <v>49</v>
      </c>
      <c r="B21" s="11">
        <v>46216</v>
      </c>
      <c r="C21" s="11"/>
      <c r="D21" s="12" t="s">
        <v>17</v>
      </c>
      <c r="E21" s="12" t="s">
        <v>35</v>
      </c>
      <c r="F21" s="12" t="s">
        <v>36</v>
      </c>
      <c r="G21" s="12" t="s">
        <v>18</v>
      </c>
      <c r="H21" s="13">
        <v>1</v>
      </c>
      <c r="I21" s="14">
        <v>0</v>
      </c>
      <c r="J21" s="15" t="s">
        <v>28</v>
      </c>
      <c r="K21" t="str">
        <f t="shared" si="0"/>
        <v>OPEN</v>
      </c>
      <c r="L21" t="str">
        <f t="shared" si="1"/>
        <v>GENERATOR</v>
      </c>
      <c r="M21">
        <f t="shared" ca="1" si="2"/>
        <v>37</v>
      </c>
      <c r="N21" t="str">
        <f t="shared" si="3"/>
        <v/>
      </c>
    </row>
    <row r="22" spans="1:14" x14ac:dyDescent="0.2">
      <c r="A22" s="4"/>
      <c r="B22" s="5">
        <v>46216</v>
      </c>
      <c r="C22" s="5">
        <v>46218</v>
      </c>
      <c r="D22" s="6" t="s">
        <v>32</v>
      </c>
      <c r="E22" s="6" t="s">
        <v>12</v>
      </c>
      <c r="F22" s="6" t="s">
        <v>13</v>
      </c>
      <c r="G22" s="6" t="s">
        <v>14</v>
      </c>
      <c r="H22" s="7">
        <v>2</v>
      </c>
      <c r="I22" s="8">
        <v>75</v>
      </c>
      <c r="J22" s="9" t="s">
        <v>19</v>
      </c>
      <c r="K22" t="str">
        <f t="shared" si="0"/>
        <v>COMPLETED</v>
      </c>
      <c r="L22" t="str">
        <f t="shared" si="1"/>
        <v>FORKLIFT</v>
      </c>
      <c r="M22">
        <f t="shared" ca="1" si="2"/>
        <v>2</v>
      </c>
      <c r="N22" t="str">
        <f t="shared" si="3"/>
        <v>Missing work order ID</v>
      </c>
    </row>
    <row r="23" spans="1:14" x14ac:dyDescent="0.2">
      <c r="A23" s="10" t="s">
        <v>50</v>
      </c>
      <c r="B23" s="11">
        <v>46217</v>
      </c>
      <c r="C23" s="11"/>
      <c r="D23" s="12" t="s">
        <v>32</v>
      </c>
      <c r="E23" s="12" t="s">
        <v>26</v>
      </c>
      <c r="F23" s="12" t="s">
        <v>23</v>
      </c>
      <c r="G23" s="12" t="s">
        <v>27</v>
      </c>
      <c r="H23" s="13">
        <v>2</v>
      </c>
      <c r="I23" s="14">
        <v>120</v>
      </c>
      <c r="J23" s="15" t="s">
        <v>15</v>
      </c>
      <c r="K23" t="str">
        <f t="shared" si="0"/>
        <v>COMPLETED</v>
      </c>
      <c r="L23" t="str">
        <f t="shared" si="1"/>
        <v>CONVEYOR</v>
      </c>
      <c r="M23">
        <f t="shared" ca="1" si="2"/>
        <v>36</v>
      </c>
      <c r="N23" t="str">
        <f t="shared" si="3"/>
        <v>Completed with no close date</v>
      </c>
    </row>
    <row r="24" spans="1:14" x14ac:dyDescent="0.2">
      <c r="A24" s="4" t="s">
        <v>48</v>
      </c>
      <c r="B24" s="5">
        <v>46215</v>
      </c>
      <c r="C24" s="5">
        <v>46217</v>
      </c>
      <c r="D24" s="6" t="s">
        <v>11</v>
      </c>
      <c r="E24" s="6" t="s">
        <v>33</v>
      </c>
      <c r="F24" s="6" t="s">
        <v>23</v>
      </c>
      <c r="G24" s="6" t="s">
        <v>27</v>
      </c>
      <c r="H24" s="7">
        <v>2.5</v>
      </c>
      <c r="I24" s="8">
        <v>105</v>
      </c>
      <c r="J24" s="9" t="s">
        <v>19</v>
      </c>
      <c r="K24" t="str">
        <f t="shared" si="0"/>
        <v>COMPLETED</v>
      </c>
      <c r="L24" t="str">
        <f t="shared" si="1"/>
        <v>FORKLIFT</v>
      </c>
      <c r="M24">
        <f t="shared" ca="1" si="2"/>
        <v>2</v>
      </c>
      <c r="N24" t="str">
        <f t="shared" si="3"/>
        <v>Duplicate work order ID</v>
      </c>
    </row>
  </sheetData>
  <pageMargins left="0.7" right="0.7" top="0.75" bottom="0.75" header="0.3" footer="0.3"/>
  <ignoredErrors>
    <ignoredError sqref="N2 M23 M21 N24 M3:N3 N4:N5 M6:N6 N7:N8 M9:N9 N10 M11:N11 N12 M13:N13 N14:N15 M16:N16 N17 M18:N18 N19:N23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6788-20BB-4491-8EE0-E44ABF9B6914}">
  <dimension ref="A1:P7"/>
  <sheetViews>
    <sheetView topLeftCell="J1" workbookViewId="0">
      <selection activeCell="K13" sqref="K13"/>
    </sheetView>
  </sheetViews>
  <sheetFormatPr baseColWidth="10" defaultColWidth="8.83203125" defaultRowHeight="15" x14ac:dyDescent="0.2"/>
  <cols>
    <col min="1" max="1" width="15.1640625" bestFit="1" customWidth="1"/>
    <col min="2" max="2" width="11.1640625" bestFit="1" customWidth="1"/>
    <col min="3" max="3" width="11" bestFit="1" customWidth="1"/>
    <col min="4" max="4" width="10.6640625" bestFit="1" customWidth="1"/>
    <col min="5" max="5" width="16.1640625" bestFit="1" customWidth="1"/>
    <col min="6" max="6" width="12.83203125" bestFit="1" customWidth="1"/>
    <col min="7" max="7" width="10.5" bestFit="1" customWidth="1"/>
    <col min="8" max="8" width="12.33203125" bestFit="1" customWidth="1"/>
    <col min="9" max="9" width="10.5" bestFit="1" customWidth="1"/>
    <col min="10" max="10" width="8.5" bestFit="1" customWidth="1"/>
    <col min="11" max="11" width="15.6640625" bestFit="1" customWidth="1"/>
    <col min="12" max="12" width="19.83203125" bestFit="1" customWidth="1"/>
    <col min="13" max="13" width="11.1640625" bestFit="1" customWidth="1"/>
    <col min="14" max="14" width="27.6640625" bestFit="1" customWidth="1"/>
  </cols>
  <sheetData>
    <row r="1" spans="1:16" x14ac:dyDescent="0.2">
      <c r="A1" t="str" cm="1">
        <f t="array" aca="1" ref="A1:N7" ca="1">_xlfn._xlws.FILTER(Cleaned_Data!A1:N24,Cleaned_Data!N1:N24&lt;&gt;"","No exceptions found")</f>
        <v>Work_Order_ID</v>
      </c>
      <c r="B1" t="str">
        <f ca="1"/>
        <v>Open_Date</v>
      </c>
      <c r="C1" t="str">
        <f ca="1"/>
        <v>Close_Date</v>
      </c>
      <c r="D1" t="str">
        <f ca="1"/>
        <v>Status</v>
      </c>
      <c r="E1" t="str">
        <f ca="1"/>
        <v>Equipment_Type</v>
      </c>
      <c r="F1" t="str">
        <f ca="1"/>
        <v>Location</v>
      </c>
      <c r="G1" t="str">
        <f ca="1"/>
        <v>Technician</v>
      </c>
      <c r="H1" t="str">
        <f ca="1"/>
        <v>Labor_Hours</v>
      </c>
      <c r="I1" t="str">
        <f ca="1"/>
        <v>Parts_Cost</v>
      </c>
      <c r="J1" t="str">
        <f ca="1"/>
        <v>Priority</v>
      </c>
      <c r="K1" t="str">
        <f ca="1"/>
        <v>Standard_Status</v>
      </c>
      <c r="L1" t="str">
        <f ca="1"/>
        <v>Standard_Equipment</v>
      </c>
      <c r="M1" t="str">
        <f ca="1"/>
        <v>Days_Open</v>
      </c>
      <c r="N1" t="str">
        <f ca="1"/>
        <v>Data_Quality_Flag</v>
      </c>
      <c r="P1" t="s">
        <v>55</v>
      </c>
    </row>
    <row r="2" spans="1:16" x14ac:dyDescent="0.2">
      <c r="A2" t="str">
        <f ca="1"/>
        <v>WO-1010</v>
      </c>
      <c r="B2">
        <f ca="1"/>
        <v>46209</v>
      </c>
      <c r="C2">
        <f ca="1"/>
        <v>0</v>
      </c>
      <c r="D2" t="str">
        <f ca="1"/>
        <v>Completed</v>
      </c>
      <c r="E2" t="str">
        <f ca="1"/>
        <v>Conveyor</v>
      </c>
      <c r="F2" t="str">
        <f ca="1"/>
        <v>Warehouse A</v>
      </c>
      <c r="G2" t="str">
        <f ca="1"/>
        <v>Sam Patel</v>
      </c>
      <c r="H2">
        <f ca="1"/>
        <v>2.5</v>
      </c>
      <c r="I2">
        <f ca="1"/>
        <v>89.5</v>
      </c>
      <c r="J2" t="str">
        <f ca="1"/>
        <v>Medium</v>
      </c>
      <c r="K2" t="str">
        <f ca="1"/>
        <v>COMPLETED</v>
      </c>
      <c r="L2" t="str">
        <f ca="1"/>
        <v>CONVEYOR</v>
      </c>
      <c r="M2">
        <f ca="1"/>
        <v>44</v>
      </c>
      <c r="N2" t="str">
        <f ca="1"/>
        <v>Completed with no close date</v>
      </c>
    </row>
    <row r="3" spans="1:16" x14ac:dyDescent="0.2">
      <c r="A3" t="str">
        <f ca="1"/>
        <v>WO-1014</v>
      </c>
      <c r="B3">
        <f ca="1"/>
        <v>46212</v>
      </c>
      <c r="C3">
        <f ca="1"/>
        <v>46214</v>
      </c>
      <c r="D3" t="str">
        <f ca="1"/>
        <v>Complete</v>
      </c>
      <c r="E3" t="str">
        <f ca="1"/>
        <v>Conveyor</v>
      </c>
      <c r="F3" t="str">
        <f ca="1"/>
        <v>Warehouse B</v>
      </c>
      <c r="G3" t="str">
        <f ca="1"/>
        <v>Jordan Lee</v>
      </c>
      <c r="H3">
        <f ca="1"/>
        <v>2</v>
      </c>
      <c r="I3">
        <f ca="1"/>
        <v>-25</v>
      </c>
      <c r="J3" t="str">
        <f ca="1"/>
        <v>Medium</v>
      </c>
      <c r="K3" t="str">
        <f ca="1"/>
        <v>COMPLETED</v>
      </c>
      <c r="L3" t="str">
        <f ca="1"/>
        <v>CONVEYOR</v>
      </c>
      <c r="M3">
        <f ca="1"/>
        <v>2</v>
      </c>
      <c r="N3" t="str">
        <f ca="1"/>
        <v>Negative parts cost</v>
      </c>
    </row>
    <row r="4" spans="1:16" x14ac:dyDescent="0.2">
      <c r="A4" t="str">
        <f ca="1"/>
        <v>WO-1019</v>
      </c>
      <c r="B4">
        <f ca="1"/>
        <v>46215</v>
      </c>
      <c r="C4">
        <f ca="1"/>
        <v>46217</v>
      </c>
      <c r="D4" t="str">
        <f ca="1"/>
        <v>Closed</v>
      </c>
      <c r="E4" t="str">
        <f ca="1"/>
        <v>FL</v>
      </c>
      <c r="F4" t="str">
        <f ca="1"/>
        <v>Warehouse B</v>
      </c>
      <c r="G4" t="str">
        <f ca="1"/>
        <v>Sam Patel</v>
      </c>
      <c r="H4">
        <f ca="1"/>
        <v>2.5</v>
      </c>
      <c r="I4">
        <f ca="1"/>
        <v>105</v>
      </c>
      <c r="J4" t="str">
        <f ca="1"/>
        <v>Medium</v>
      </c>
      <c r="K4" t="str">
        <f ca="1"/>
        <v>COMPLETED</v>
      </c>
      <c r="L4" t="str">
        <f ca="1"/>
        <v>FORKLIFT</v>
      </c>
      <c r="M4">
        <f ca="1"/>
        <v>2</v>
      </c>
      <c r="N4" t="str">
        <f ca="1"/>
        <v>Duplicate work order ID</v>
      </c>
    </row>
    <row r="5" spans="1:16" x14ac:dyDescent="0.2">
      <c r="A5">
        <f ca="1"/>
        <v>0</v>
      </c>
      <c r="B5">
        <f ca="1"/>
        <v>46216</v>
      </c>
      <c r="C5">
        <f ca="1"/>
        <v>46218</v>
      </c>
      <c r="D5" t="str">
        <f ca="1"/>
        <v>Completed</v>
      </c>
      <c r="E5" t="str">
        <f ca="1"/>
        <v>Forklift</v>
      </c>
      <c r="F5" t="str">
        <f ca="1"/>
        <v>Warehouse A</v>
      </c>
      <c r="G5" t="str">
        <f ca="1"/>
        <v>Alex Smith</v>
      </c>
      <c r="H5">
        <f ca="1"/>
        <v>2</v>
      </c>
      <c r="I5">
        <f ca="1"/>
        <v>75</v>
      </c>
      <c r="J5" t="str">
        <f ca="1"/>
        <v>Medium</v>
      </c>
      <c r="K5" t="str">
        <f ca="1"/>
        <v>COMPLETED</v>
      </c>
      <c r="L5" t="str">
        <f ca="1"/>
        <v>FORKLIFT</v>
      </c>
      <c r="M5">
        <f ca="1"/>
        <v>2</v>
      </c>
      <c r="N5" t="str">
        <f ca="1"/>
        <v>Missing work order ID</v>
      </c>
    </row>
    <row r="6" spans="1:16" x14ac:dyDescent="0.2">
      <c r="A6" t="str">
        <f ca="1"/>
        <v>WO-1022</v>
      </c>
      <c r="B6">
        <f ca="1"/>
        <v>46217</v>
      </c>
      <c r="C6">
        <f ca="1"/>
        <v>0</v>
      </c>
      <c r="D6" t="str">
        <f ca="1"/>
        <v>Completed</v>
      </c>
      <c r="E6" t="str">
        <f ca="1"/>
        <v>Conveyor</v>
      </c>
      <c r="F6" t="str">
        <f ca="1"/>
        <v>Warehouse B</v>
      </c>
      <c r="G6" t="str">
        <f ca="1"/>
        <v>Sam Patel</v>
      </c>
      <c r="H6">
        <f ca="1"/>
        <v>2</v>
      </c>
      <c r="I6">
        <f ca="1"/>
        <v>120</v>
      </c>
      <c r="J6" t="str">
        <f ca="1"/>
        <v>High</v>
      </c>
      <c r="K6" t="str">
        <f ca="1"/>
        <v>COMPLETED</v>
      </c>
      <c r="L6" t="str">
        <f ca="1"/>
        <v>CONVEYOR</v>
      </c>
      <c r="M6">
        <f ca="1"/>
        <v>36</v>
      </c>
      <c r="N6" t="str">
        <f ca="1"/>
        <v>Completed with no close date</v>
      </c>
    </row>
    <row r="7" spans="1:16" x14ac:dyDescent="0.2">
      <c r="A7" t="str">
        <f ca="1"/>
        <v>WO-1019</v>
      </c>
      <c r="B7">
        <f ca="1"/>
        <v>46215</v>
      </c>
      <c r="C7">
        <f ca="1"/>
        <v>46217</v>
      </c>
      <c r="D7" t="str">
        <f ca="1"/>
        <v>Closed</v>
      </c>
      <c r="E7" t="str">
        <f ca="1"/>
        <v>FL</v>
      </c>
      <c r="F7" t="str">
        <f ca="1"/>
        <v>Warehouse B</v>
      </c>
      <c r="G7" t="str">
        <f ca="1"/>
        <v>Sam Patel</v>
      </c>
      <c r="H7">
        <f ca="1"/>
        <v>2.5</v>
      </c>
      <c r="I7">
        <f ca="1"/>
        <v>105</v>
      </c>
      <c r="J7" t="str">
        <f ca="1"/>
        <v>Medium</v>
      </c>
      <c r="K7" t="str">
        <f ca="1"/>
        <v>COMPLETED</v>
      </c>
      <c r="L7" t="str">
        <f ca="1"/>
        <v>FORKLIFT</v>
      </c>
      <c r="M7">
        <f ca="1"/>
        <v>2</v>
      </c>
      <c r="N7" t="str">
        <f ca="1"/>
        <v>Duplicate work order ID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B841-556A-4F1B-B815-37B15181704B}">
  <dimension ref="A1:E11"/>
  <sheetViews>
    <sheetView tabSelected="1" workbookViewId="0">
      <selection activeCell="L17" sqref="L17"/>
    </sheetView>
  </sheetViews>
  <sheetFormatPr baseColWidth="10" defaultColWidth="8.83203125" defaultRowHeight="15" x14ac:dyDescent="0.2"/>
  <cols>
    <col min="1" max="1" width="36.1640625" customWidth="1"/>
    <col min="2" max="2" width="21.83203125" style="30" customWidth="1"/>
    <col min="4" max="4" width="20" customWidth="1"/>
    <col min="5" max="5" width="15.33203125" customWidth="1"/>
  </cols>
  <sheetData>
    <row r="1" spans="1:5" ht="30" customHeight="1" x14ac:dyDescent="0.3">
      <c r="A1" s="16" t="s">
        <v>56</v>
      </c>
      <c r="B1" s="25"/>
    </row>
    <row r="2" spans="1:5" ht="30" customHeight="1" x14ac:dyDescent="0.2">
      <c r="A2" s="18" t="s">
        <v>57</v>
      </c>
      <c r="B2" s="26"/>
    </row>
    <row r="4" spans="1:5" x14ac:dyDescent="0.2">
      <c r="A4" s="17" t="s">
        <v>58</v>
      </c>
      <c r="B4" s="27" t="s">
        <v>59</v>
      </c>
      <c r="D4" s="22" t="s">
        <v>67</v>
      </c>
      <c r="E4" s="22" t="s">
        <v>68</v>
      </c>
    </row>
    <row r="5" spans="1:5" x14ac:dyDescent="0.2">
      <c r="A5" s="19" t="s">
        <v>60</v>
      </c>
      <c r="B5" s="28">
        <f>COUNTA(Cleaned_Data!A2:A24)</f>
        <v>22</v>
      </c>
      <c r="D5" s="21" t="s">
        <v>69</v>
      </c>
      <c r="E5" s="24">
        <f>COUNTIF(Cleaned_Data!L2:L24,D5)</f>
        <v>12</v>
      </c>
    </row>
    <row r="6" spans="1:5" x14ac:dyDescent="0.2">
      <c r="A6" s="19" t="s">
        <v>61</v>
      </c>
      <c r="B6" s="28">
        <f>COUNTIF(Cleaned_Data!K2:K24,"OPEN")+COUNTIF(Cleaned_Data!K2:K24,"IN PROGRESS")</f>
        <v>7</v>
      </c>
      <c r="D6" s="21" t="s">
        <v>70</v>
      </c>
      <c r="E6" s="24">
        <f>COUNTIF(Cleaned_Data!L2:L24,D6)</f>
        <v>6</v>
      </c>
    </row>
    <row r="7" spans="1:5" x14ac:dyDescent="0.2">
      <c r="A7" s="19" t="s">
        <v>62</v>
      </c>
      <c r="B7" s="28">
        <f>COUNTIF(Cleaned_Data!K2:K24,"COMPLETED")</f>
        <v>16</v>
      </c>
      <c r="D7" s="21" t="s">
        <v>71</v>
      </c>
      <c r="E7" s="24">
        <f>COUNTIF(Cleaned_Data!L2:L24,D7)</f>
        <v>5</v>
      </c>
    </row>
    <row r="8" spans="1:5" x14ac:dyDescent="0.2">
      <c r="A8" s="19" t="s">
        <v>63</v>
      </c>
      <c r="B8" s="28">
        <f ca="1">AVERAGE(Cleaned_Data!M2:M24)</f>
        <v>17.608695652173914</v>
      </c>
      <c r="D8" s="23"/>
      <c r="E8" s="23"/>
    </row>
    <row r="9" spans="1:5" x14ac:dyDescent="0.2">
      <c r="A9" s="19" t="s">
        <v>64</v>
      </c>
      <c r="B9" s="28">
        <f>SUM(Cleaned_Data!H2:H24)</f>
        <v>61.5</v>
      </c>
      <c r="D9" s="21"/>
      <c r="E9" s="21"/>
    </row>
    <row r="10" spans="1:5" x14ac:dyDescent="0.2">
      <c r="A10" s="19" t="s">
        <v>65</v>
      </c>
      <c r="B10" s="31">
        <f>SUM(Cleaned_Data!I2:I24)</f>
        <v>3048</v>
      </c>
    </row>
    <row r="11" spans="1:5" x14ac:dyDescent="0.2">
      <c r="A11" s="20" t="s">
        <v>66</v>
      </c>
      <c r="B11" s="29">
        <f>COUNTIF(Cleaned_Data!N2:N24,"?*")</f>
        <v>6</v>
      </c>
    </row>
  </sheetData>
  <pageMargins left="0.7" right="0.7" top="0.75" bottom="0.75" header="0.3" footer="0.3"/>
  <ignoredErrors>
    <ignoredError sqref="B5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Exceptions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William Bryan</cp:lastModifiedBy>
  <cp:revision/>
  <dcterms:created xsi:type="dcterms:W3CDTF">2026-08-19T23:23:57Z</dcterms:created>
  <dcterms:modified xsi:type="dcterms:W3CDTF">2026-08-20T00:40:49Z</dcterms:modified>
  <cp:category/>
  <cp:contentStatus/>
</cp:coreProperties>
</file>